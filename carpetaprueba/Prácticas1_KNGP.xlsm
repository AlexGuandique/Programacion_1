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NEDUCYT\Documents\Careta_Prueba\"/>
    </mc:Choice>
  </mc:AlternateContent>
  <xr:revisionPtr revIDLastSave="0" documentId="8_{F11DEA0A-8AA9-4787-BBD5-F47BE6C3BBA5}" xr6:coauthVersionLast="47" xr6:coauthVersionMax="47" xr10:uidLastSave="{00000000-0000-0000-0000-000000000000}"/>
  <bookViews>
    <workbookView xWindow="20370" yWindow="-120" windowWidth="24240" windowHeight="13140" xr2:uid="{00000000-000D-0000-FFFF-FFFF00000000}"/>
  </bookViews>
  <sheets>
    <sheet name="Pedidos_enero" sheetId="1" r:id="rId1"/>
    <sheet name="propiedades" sheetId="4" r:id="rId2"/>
    <sheet name="Hoja1" sheetId="3" r:id="rId3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3" i="1"/>
  <c r="E17" i="1"/>
  <c r="D17" i="1"/>
  <c r="C17" i="1"/>
  <c r="B17" i="1"/>
  <c r="D3" i="1"/>
  <c r="D4" i="1"/>
  <c r="D5" i="1"/>
  <c r="D6" i="1"/>
  <c r="D7" i="1"/>
  <c r="D8" i="1"/>
  <c r="D9" i="1"/>
  <c r="D10" i="1"/>
  <c r="D11" i="1"/>
  <c r="D12" i="1"/>
  <c r="D13" i="1"/>
  <c r="D14" i="1"/>
  <c r="D15" i="1"/>
</calcChain>
</file>

<file path=xl/sharedStrings.xml><?xml version="1.0" encoding="utf-8"?>
<sst xmlns="http://schemas.openxmlformats.org/spreadsheetml/2006/main" count="22" uniqueCount="22">
  <si>
    <t>Artículo</t>
  </si>
  <si>
    <t>Cantidad</t>
  </si>
  <si>
    <t>Total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</si>
  <si>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</si>
  <si>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</si>
  <si>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</si>
  <si>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</si>
  <si>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</si>
  <si>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</si>
  <si>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</si>
  <si>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</si>
  <si>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</si>
  <si>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</si>
  <si>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</si>
  <si>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</si>
  <si>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</si>
  <si>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Pedidos mensuales</t>
  </si>
  <si>
    <t>Enero 2012</t>
  </si>
  <si>
    <t>Precio ($)</t>
  </si>
  <si>
    <t>Total ($) sin IVA</t>
  </si>
  <si>
    <t>IVA</t>
  </si>
  <si>
    <t>Total con 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</si>
</sst>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40A]#,##0.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5"/>
      <color rgb="FFCC0000"/>
      <name val="Calibri"/>
      <family val="2"/>
      <scheme val="minor"/>
    </font>
    <font>
      <b/>
      <sz val="15"/>
      <color rgb="FF92D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5"/>
      <color rgb="FFFD5003"/>
      <name val="Calibri"/>
      <family val="2"/>
      <scheme val="minor"/>
    </font>
    <font>
      <b/>
      <sz val="15"/>
      <color rgb="FFF5F50B"/>
      <name val="Calibri"/>
      <family val="2"/>
      <scheme val="minor"/>
    </font>
    <font>
      <b/>
      <sz val="15"/>
      <color rgb="FF7030A0"/>
      <name val="Calibri"/>
      <family val="2"/>
      <scheme val="minor"/>
    </font>
    <font>
      <b/>
      <sz val="11"/>
      <name val="Arial"/>
      <family val="2"/>
    </font>
    <font>
      <b/>
      <i/>
      <sz val="16"/>
      <color rgb="FF339966"/>
      <name val="Bahnschrift Light"/>
      <family val="2"/>
    </font>
    <font>
      <b/>
      <i/>
      <sz val="16"/>
      <color rgb="FF800080"/>
      <name val="Algerian"/>
      <family val="5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3" fillId="3" borderId="8" xfId="0" applyFont="1" applyFill="1" applyBorder="1" applyAlignment="1">
      <alignment horizontal="left" vertical="center" wrapText="1"/>
    </xf>
    <xf numFmtId="0" fontId="3" fillId="3" borderId="9" xfId="0" applyFont="1" applyFill="1" applyBorder="1" applyAlignment="1">
      <alignment horizontal="left" vertical="center" wrapText="1"/>
    </xf>
    <xf numFmtId="0" fontId="3" fillId="3" borderId="11" xfId="0" applyFont="1" applyFill="1" applyBorder="1" applyAlignment="1">
      <alignment horizontal="left" vertical="center" wrapText="1"/>
    </xf>
    <xf numFmtId="49" fontId="0" fillId="5" borderId="4" xfId="0" applyNumberFormat="1" applyFill="1" applyBorder="1"/>
    <xf numFmtId="0" fontId="3" fillId="4" borderId="10" xfId="0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/>
    </xf>
    <xf numFmtId="0" fontId="1" fillId="0" borderId="0" xfId="0" applyFont="1"/>
    <xf numFmtId="0" fontId="2" fillId="5" borderId="3" xfId="0" applyFont="1" applyFill="1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164" fontId="0" fillId="5" borderId="4" xfId="0" applyNumberFormat="1" applyFill="1" applyBorder="1"/>
    <xf numFmtId="164" fontId="3" fillId="4" borderId="15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164" fontId="0" fillId="0" borderId="0" xfId="0" applyNumberFormat="1"/>
    <xf numFmtId="164" fontId="3" fillId="2" borderId="17" xfId="0" applyNumberFormat="1" applyFont="1" applyFill="1" applyBorder="1" applyAlignment="1">
      <alignment horizontal="center" vertical="center"/>
    </xf>
    <xf numFmtId="9" fontId="0" fillId="6" borderId="0" xfId="0" applyNumberFormat="1" applyFill="1" applyAlignment="1">
      <alignment horizontal="center"/>
    </xf>
    <xf numFmtId="0" fontId="11" fillId="4" borderId="0" xfId="0" applyFont="1" applyFill="1" applyAlignment="1">
      <alignment horizontal="left" vertical="center" wrapText="1"/>
    </xf>
    <xf numFmtId="0" fontId="11" fillId="3" borderId="2" xfId="0" applyFont="1" applyFill="1" applyBorder="1" applyAlignment="1">
      <alignment horizontal="left" vertical="center" wrapText="1"/>
    </xf>
    <xf numFmtId="3" fontId="3" fillId="7" borderId="12" xfId="0" applyNumberFormat="1" applyFont="1" applyFill="1" applyBorder="1" applyAlignment="1">
      <alignment horizontal="center" vertical="center"/>
    </xf>
    <xf numFmtId="3" fontId="3" fillId="7" borderId="6" xfId="0" applyNumberFormat="1" applyFont="1" applyFill="1" applyBorder="1" applyAlignment="1">
      <alignment horizontal="center" vertical="center"/>
    </xf>
    <xf numFmtId="3" fontId="4" fillId="7" borderId="6" xfId="0" applyNumberFormat="1" applyFont="1" applyFill="1" applyBorder="1" applyAlignment="1">
      <alignment horizontal="center" vertical="center"/>
    </xf>
    <xf numFmtId="3" fontId="3" fillId="7" borderId="7" xfId="0" applyNumberFormat="1" applyFont="1" applyFill="1" applyBorder="1" applyAlignment="1">
      <alignment horizontal="center" vertical="center"/>
    </xf>
    <xf numFmtId="3" fontId="4" fillId="7" borderId="16" xfId="0" applyNumberFormat="1" applyFont="1" applyFill="1" applyBorder="1" applyAlignment="1">
      <alignment horizontal="center" vertical="center"/>
    </xf>
    <xf numFmtId="0" fontId="2" fillId="8" borderId="0" xfId="0" applyFont="1" applyFill="1"/>
    <xf numFmtId="164" fontId="0" fillId="9" borderId="0" xfId="0" applyNumberFormat="1" applyFill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3</xdr:row>
          <xdr:rowOff>161925</xdr:rowOff>
        </xdr:from>
        <xdr:to>
          <xdr:col>8</xdr:col>
          <xdr:colOff>447675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SV" sz="1600" b="1" i="1" u="none" strike="noStrike" baseline="0">
                  <a:solidFill>
                    <a:srgbClr val="339966"/>
                  </a:solidFill>
                  <a:latin typeface="Bahnschrift Light"/>
                </a:rPr>
                <a:t>Macro_Suma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7</xdr:row>
          <xdr:rowOff>0</xdr:rowOff>
        </xdr:from>
        <xdr:to>
          <xdr:col>8</xdr:col>
          <xdr:colOff>752475</xdr:colOff>
          <xdr:row>9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SV" sz="1600" b="1" i="1" u="none" strike="noStrike" baseline="0">
                  <a:solidFill>
                    <a:srgbClr val="800080"/>
                  </a:solidFill>
                  <a:latin typeface="Algerian"/>
                </a:rPr>
                <a:t>Total_Con_IVA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753140</xdr:colOff>
      <xdr:row>11</xdr:row>
      <xdr:rowOff>177210</xdr:rowOff>
    </xdr:from>
    <xdr:to>
      <xdr:col>9</xdr:col>
      <xdr:colOff>11075</xdr:colOff>
      <xdr:row>16</xdr:row>
      <xdr:rowOff>166134</xdr:rowOff>
    </xdr:to>
    <xdr:sp macro="[0]!Sum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53E2792-B838-AC92-6071-9663EFA0697A}"/>
            </a:ext>
          </a:extLst>
        </xdr:cNvPr>
        <xdr:cNvSpPr/>
      </xdr:nvSpPr>
      <xdr:spPr>
        <a:xfrm>
          <a:off x="7304346" y="2281570"/>
          <a:ext cx="2314796" cy="9525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>
    <xdr:from>
      <xdr:col>9</xdr:col>
      <xdr:colOff>747602</xdr:colOff>
      <xdr:row>13</xdr:row>
      <xdr:rowOff>88605</xdr:rowOff>
    </xdr:from>
    <xdr:to>
      <xdr:col>12</xdr:col>
      <xdr:colOff>725451</xdr:colOff>
      <xdr:row>15</xdr:row>
      <xdr:rowOff>138444</xdr:rowOff>
    </xdr:to>
    <xdr:sp macro="[0]!Total_Con_IVA" textlink="">
      <xdr:nvSpPr>
        <xdr:cNvPr id="4" name="CuadroTexto 3">
          <a:extLst>
            <a:ext uri="{FF2B5EF4-FFF2-40B4-BE49-F238E27FC236}">
              <a16:creationId xmlns:a16="http://schemas.microsoft.com/office/drawing/2014/main" id="{D8E891E6-93DE-C406-1EDB-ADBE345CD0F3}"/>
            </a:ext>
          </a:extLst>
        </xdr:cNvPr>
        <xdr:cNvSpPr txBox="1"/>
      </xdr:nvSpPr>
      <xdr:spPr>
        <a:xfrm>
          <a:off x="10355669" y="2569535"/>
          <a:ext cx="2270494" cy="437485"/>
        </a:xfrm>
        <a:prstGeom prst="rect">
          <a:avLst/>
        </a:prstGeom>
        <a:gradFill flip="none" rotWithShape="1">
          <a:gsLst>
            <a:gs pos="0">
              <a:schemeClr val="accent3">
                <a:lumMod val="60000"/>
                <a:lumOff val="40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0" scaled="1"/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2000"/>
            <a:t>Total_Con_IVA</a:t>
          </a:r>
        </a:p>
      </xdr:txBody>
    </xdr:sp>
    <xdr:clientData/>
  </xdr:twoCellAnchor>
  <xdr:twoCellAnchor>
    <xdr:from>
      <xdr:col>6</xdr:col>
      <xdr:colOff>625770</xdr:colOff>
      <xdr:row>12</xdr:row>
      <xdr:rowOff>171672</xdr:rowOff>
    </xdr:from>
    <xdr:to>
      <xdr:col>8</xdr:col>
      <xdr:colOff>199360</xdr:colOff>
      <xdr:row>15</xdr:row>
      <xdr:rowOff>94142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EE5AD84F-2240-765B-9C20-C1D55E388CA2}"/>
            </a:ext>
          </a:extLst>
        </xdr:cNvPr>
        <xdr:cNvSpPr txBox="1"/>
      </xdr:nvSpPr>
      <xdr:spPr>
        <a:xfrm>
          <a:off x="7941192" y="2464317"/>
          <a:ext cx="1102020" cy="498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SV" sz="2800">
              <a:solidFill>
                <a:schemeClr val="tx2">
                  <a:lumMod val="75000"/>
                </a:schemeClr>
              </a:solidFill>
            </a:rPr>
            <a:t>Suma.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19"/>
  <sheetViews>
    <sheetView tabSelected="1" topLeftCell="F6" zoomScale="172" zoomScaleNormal="172" workbookViewId="0">
      <selection activeCell="H11" sqref="H11"/>
    </sheetView>
  </sheetViews>
  <sheetFormatPr baseColWidth="10" defaultRowHeight="15" x14ac:dyDescent="0.25"/>
  <cols>
    <col min="1" max="1" width="33" customWidth="1"/>
    <col min="2" max="2" width="16.85546875" customWidth="1"/>
    <col min="3" max="4" width="16.85546875" style="21" customWidth="1"/>
    <col min="5" max="5" width="14.7109375" customWidth="1"/>
  </cols>
  <sheetData>
    <row r="1" spans="1:7" ht="15.75" thickBot="1" x14ac:dyDescent="0.3">
      <c r="A1" s="9" t="s">
        <v>16</v>
      </c>
      <c r="B1" s="5" t="s">
        <v>17</v>
      </c>
      <c r="C1" s="16"/>
      <c r="D1" s="16"/>
    </row>
    <row r="2" spans="1:7" ht="15.75" thickBot="1" x14ac:dyDescent="0.3">
      <c r="A2" s="6" t="s">
        <v>0</v>
      </c>
      <c r="B2" s="7" t="s">
        <v>1</v>
      </c>
      <c r="C2" s="17" t="s">
        <v>18</v>
      </c>
      <c r="D2" s="17" t="s">
        <v>19</v>
      </c>
      <c r="E2" s="17" t="s">
        <v>21</v>
      </c>
    </row>
    <row r="3" spans="1:7" ht="15.75" thickTop="1" x14ac:dyDescent="0.25">
      <c r="A3" s="4" t="s">
        <v>3</v>
      </c>
      <c r="B3" s="26">
        <v>124</v>
      </c>
      <c r="C3" s="18">
        <v>0.14000000000000001</v>
      </c>
      <c r="D3" s="18">
        <f>B3*C3</f>
        <v>17.360000000000003</v>
      </c>
      <c r="E3" s="18">
        <f>C3*$B$19*B3</f>
        <v>2.6040000000000001</v>
      </c>
      <c r="G3" s="8"/>
    </row>
    <row r="4" spans="1:7" x14ac:dyDescent="0.25">
      <c r="A4" s="2" t="s">
        <v>4</v>
      </c>
      <c r="B4" s="27">
        <v>3000</v>
      </c>
      <c r="C4" s="19">
        <v>1.75</v>
      </c>
      <c r="D4" s="19">
        <f t="shared" ref="D4:D15" si="0">B4*C4</f>
        <v>5250</v>
      </c>
      <c r="E4" s="18">
        <f t="shared" ref="E4:E15" si="1">C4*$B$19*B4</f>
        <v>787.5</v>
      </c>
    </row>
    <row r="5" spans="1:7" x14ac:dyDescent="0.25">
      <c r="A5" s="2" t="s">
        <v>5</v>
      </c>
      <c r="B5" s="27">
        <v>40</v>
      </c>
      <c r="C5" s="19">
        <v>1.75</v>
      </c>
      <c r="D5" s="19">
        <f t="shared" si="0"/>
        <v>70</v>
      </c>
      <c r="E5" s="18">
        <f t="shared" si="1"/>
        <v>10.5</v>
      </c>
    </row>
    <row r="6" spans="1:7" x14ac:dyDescent="0.25">
      <c r="A6" s="2" t="s">
        <v>6</v>
      </c>
      <c r="B6" s="27">
        <v>753</v>
      </c>
      <c r="C6" s="19">
        <v>1.65</v>
      </c>
      <c r="D6" s="19">
        <f t="shared" si="0"/>
        <v>1242.45</v>
      </c>
      <c r="E6" s="18">
        <f t="shared" si="1"/>
        <v>186.36749999999998</v>
      </c>
    </row>
    <row r="7" spans="1:7" x14ac:dyDescent="0.25">
      <c r="A7" s="2" t="s">
        <v>7</v>
      </c>
      <c r="B7" s="27">
        <v>50</v>
      </c>
      <c r="C7" s="19">
        <v>5.67</v>
      </c>
      <c r="D7" s="19">
        <f t="shared" si="0"/>
        <v>283.5</v>
      </c>
      <c r="E7" s="18">
        <f t="shared" si="1"/>
        <v>42.524999999999999</v>
      </c>
    </row>
    <row r="8" spans="1:7" x14ac:dyDescent="0.25">
      <c r="A8" s="2" t="s">
        <v>8</v>
      </c>
      <c r="B8" s="27">
        <v>3212</v>
      </c>
      <c r="C8" s="19">
        <v>0.18</v>
      </c>
      <c r="D8" s="19">
        <f t="shared" si="0"/>
        <v>578.16</v>
      </c>
      <c r="E8" s="18">
        <f t="shared" si="1"/>
        <v>86.724000000000004</v>
      </c>
    </row>
    <row r="9" spans="1:7" x14ac:dyDescent="0.25">
      <c r="A9" s="2" t="s">
        <v>9</v>
      </c>
      <c r="B9" s="27">
        <v>4200</v>
      </c>
      <c r="C9" s="19">
        <v>0.08</v>
      </c>
      <c r="D9" s="19">
        <f t="shared" si="0"/>
        <v>336</v>
      </c>
      <c r="E9" s="18">
        <f t="shared" si="1"/>
        <v>50.4</v>
      </c>
    </row>
    <row r="10" spans="1:7" x14ac:dyDescent="0.25">
      <c r="A10" s="2" t="s">
        <v>10</v>
      </c>
      <c r="B10" s="28">
        <v>423</v>
      </c>
      <c r="C10" s="19">
        <v>1.68</v>
      </c>
      <c r="D10" s="19">
        <f t="shared" si="0"/>
        <v>710.64</v>
      </c>
      <c r="E10" s="18">
        <f t="shared" si="1"/>
        <v>106.596</v>
      </c>
    </row>
    <row r="11" spans="1:7" x14ac:dyDescent="0.25">
      <c r="A11" s="2" t="s">
        <v>11</v>
      </c>
      <c r="B11" s="27">
        <v>53</v>
      </c>
      <c r="C11" s="19">
        <v>2.5</v>
      </c>
      <c r="D11" s="19">
        <f t="shared" si="0"/>
        <v>132.5</v>
      </c>
      <c r="E11" s="18">
        <f t="shared" si="1"/>
        <v>19.875</v>
      </c>
    </row>
    <row r="12" spans="1:7" x14ac:dyDescent="0.25">
      <c r="A12" s="2" t="s">
        <v>12</v>
      </c>
      <c r="B12" s="27">
        <v>345</v>
      </c>
      <c r="C12" s="19">
        <v>2.5</v>
      </c>
      <c r="D12" s="19">
        <f t="shared" si="0"/>
        <v>862.5</v>
      </c>
      <c r="E12" s="18">
        <f t="shared" si="1"/>
        <v>129.375</v>
      </c>
    </row>
    <row r="13" spans="1:7" x14ac:dyDescent="0.25">
      <c r="A13" s="2" t="s">
        <v>13</v>
      </c>
      <c r="B13" s="27">
        <v>1500</v>
      </c>
      <c r="C13" s="19">
        <v>1.59</v>
      </c>
      <c r="D13" s="19">
        <f t="shared" si="0"/>
        <v>2385</v>
      </c>
      <c r="E13" s="18">
        <f t="shared" si="1"/>
        <v>357.75</v>
      </c>
    </row>
    <row r="14" spans="1:7" x14ac:dyDescent="0.25">
      <c r="A14" s="2" t="s">
        <v>14</v>
      </c>
      <c r="B14" s="27">
        <v>2000</v>
      </c>
      <c r="C14" s="19">
        <v>0.33</v>
      </c>
      <c r="D14" s="19">
        <f t="shared" si="0"/>
        <v>660</v>
      </c>
      <c r="E14" s="18">
        <f t="shared" si="1"/>
        <v>99</v>
      </c>
    </row>
    <row r="15" spans="1:7" ht="15.75" thickBot="1" x14ac:dyDescent="0.3">
      <c r="A15" s="3" t="s">
        <v>15</v>
      </c>
      <c r="B15" s="29">
        <v>3224</v>
      </c>
      <c r="C15" s="20">
        <v>0.33</v>
      </c>
      <c r="D15" s="20">
        <f t="shared" si="0"/>
        <v>1063.92</v>
      </c>
      <c r="E15" s="18">
        <f t="shared" si="1"/>
        <v>159.58799999999999</v>
      </c>
    </row>
    <row r="16" spans="1:7" ht="15.75" thickBot="1" x14ac:dyDescent="0.3">
      <c r="B16" s="31"/>
    </row>
    <row r="17" spans="1:6" ht="15.75" thickBot="1" x14ac:dyDescent="0.3">
      <c r="A17" s="25" t="s">
        <v>2</v>
      </c>
      <c r="B17" s="30">
        <f>SUM(B3:B16)</f>
        <v>18924</v>
      </c>
      <c r="C17" s="22">
        <f>SUM(C3:C16)</f>
        <v>20.149999999999995</v>
      </c>
      <c r="D17" s="22">
        <f>SUM(D3:D16)</f>
        <v>13592.029999999999</v>
      </c>
      <c r="E17" s="32">
        <f>SUM(E3:E16)</f>
        <v>2038.8045</v>
      </c>
      <c r="F17" s="1"/>
    </row>
    <row r="18" spans="1:6" x14ac:dyDescent="0.25">
      <c r="B18" s="33"/>
    </row>
    <row r="19" spans="1:6" x14ac:dyDescent="0.25">
      <c r="A19" s="24" t="s">
        <v>20</v>
      </c>
      <c r="B19" s="23">
        <v>0.15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uma">
                <anchor moveWithCells="1" sizeWithCells="1">
                  <from>
                    <xdr:col>6</xdr:col>
                    <xdr:colOff>447675</xdr:colOff>
                    <xdr:row>3</xdr:row>
                    <xdr:rowOff>161925</xdr:rowOff>
                  </from>
                  <to>
                    <xdr:col>8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Total_Con_IVA">
                <anchor moveWithCells="1" sizeWithCells="1">
                  <from>
                    <xdr:col>5</xdr:col>
                    <xdr:colOff>752475</xdr:colOff>
                    <xdr:row>7</xdr:row>
                    <xdr:rowOff>0</xdr:rowOff>
                  </from>
                  <to>
                    <xdr:col>8</xdr:col>
                    <xdr:colOff>752475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C2"/>
  <sheetViews>
    <sheetView workbookViewId="0">
      <selection activeCell="C2" sqref="C2"/>
    </sheetView>
  </sheetViews>
  <sheetFormatPr baseColWidth="10" defaultRowHeight="15" x14ac:dyDescent="0.25"/>
  <sheetData>
    <row r="1" spans="1:3" ht="19.5" x14ac:dyDescent="0.3">
      <c r="A1" s="10">
        <v>1</v>
      </c>
      <c r="B1" s="11">
        <v>2</v>
      </c>
      <c r="C1" s="12">
        <v>3</v>
      </c>
    </row>
    <row r="2" spans="1:3" ht="19.5" x14ac:dyDescent="0.3">
      <c r="A2" s="13">
        <v>4</v>
      </c>
      <c r="B2" s="14">
        <v>5</v>
      </c>
      <c r="C2" s="15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Pedidos_enero</vt:lpstr>
      <vt:lpstr>propiedades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MINEDUCYT</cp:lastModifiedBy>
  <dcterms:created xsi:type="dcterms:W3CDTF">2012-09-10T21:52:02Z</dcterms:created>
  <dcterms:modified xsi:type="dcterms:W3CDTF">2022-09-23T15:34:23Z</dcterms:modified>
</cp:coreProperties>
</file>